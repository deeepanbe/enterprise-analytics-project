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  <font>
      <b val="1"/>
      <color rgb="00FFFFFF"/>
      <sz val="20"/>
    </font>
    <font>
      <b val="1"/>
      <color rgb="000F4C81"/>
    </font>
    <font>
      <b val="1"/>
      <color rgb="000F4C8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0F4C81"/>
      </patternFill>
    </fill>
    <fill>
      <patternFill patternType="solid">
        <fgColor rgb="00E9F2FB"/>
      </patternFill>
    </fill>
    <fill>
      <patternFill patternType="solid">
        <fgColor rgb="00D0E3F0"/>
      </patternFill>
    </fill>
    <fill>
      <patternFill patternType="solid">
        <fgColor rgb="00FFFFFF"/>
      </patternFill>
    </fill>
    <fill>
      <patternFill patternType="solid">
        <fgColor rgb="00F9F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1" fillId="5" borderId="0" pivotButton="0" quotePrefix="0" xfId="0"/>
    <xf numFmtId="0" fontId="0" fillId="8" borderId="0" pivotButton="0" quotePrefix="0" xfId="0"/>
    <xf numFmtId="0" fontId="6" fillId="8" borderId="0" pivotButton="0" quotePrefix="0" xfId="0"/>
    <xf numFmtId="0" fontId="5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Qty by Tailor (Filtered)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'Dashboard'!$H$4:$H$103</f>
            </numRef>
          </cat>
          <val>
            <numRef>
              <f>'Dashboard'!$I$4:$I$103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Tailor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Stitching Inward &amp; Packed by Order (Filtered)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'Dashboard'!$H$11:$H$110</f>
            </numRef>
          </cat>
          <val>
            <numRef>
              <f>'Dashboard'!$I$11:$I$110</f>
            </numRef>
          </val>
        </ser>
        <ser>
          <idx val="1"/>
          <order val="1"/>
          <tx>
            <strRef>
              <f>'Dashboard'!J10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'Dashboard'!$H$11:$H$110</f>
            </numRef>
          </cat>
          <val>
            <numRef>
              <f>'Dashboard'!$J$11:$J$110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9" customWidth="1" min="3" max="3"/>
    <col width="17" customWidth="1" min="4" max="4"/>
    <col width="13" customWidth="1" min="5" max="5"/>
    <col width="11" customWidth="1" min="6" max="6"/>
    <col width="19" customWidth="1" min="7" max="7"/>
    <col width="18" customWidth="1" min="8" max="8"/>
    <col width="19" customWidth="1" min="9" max="9"/>
    <col width="26" customWidth="1" min="10" max="10"/>
    <col width="30" customWidth="1" min="11" max="11"/>
    <col width="12" customWidth="1" min="12" max="12"/>
    <col width="14" customWidth="1" min="13" max="13"/>
    <col width="12" customWidth="1" min="14" max="14"/>
    <col width="13" customWidth="1" min="15" max="15"/>
    <col width="15" customWidth="1" min="16" max="16"/>
    <col width="17" customWidth="1" min="17" max="17"/>
    <col width="10" customWidth="1" min="18" max="18"/>
    <col width="12" customWidth="1" min="19" max="19"/>
    <col width="17" customWidth="1" min="20" max="20"/>
    <col width="19" customWidth="1" min="21" max="21"/>
    <col width="17" customWidth="1" min="22" max="22"/>
    <col width="19" customWidth="1" min="23" max="23"/>
    <col width="10" customWidth="1" min="24" max="24"/>
    <col width="13" customWidth="1" min="25" max="25"/>
  </cols>
  <sheetData>
    <row r="1">
      <c r="A1" t="inlineStr">
        <is>
          <t>DHF ORDER  NUMBER</t>
        </is>
      </c>
      <c r="B1" t="inlineStr">
        <is>
          <t>ARTICLE</t>
        </is>
      </c>
      <c r="C1" t="inlineStr">
        <is>
          <t>DESIGN</t>
        </is>
      </c>
      <c r="D1" t="inlineStr">
        <is>
          <t>COLOUR</t>
        </is>
      </c>
      <c r="E1" t="inlineStr">
        <is>
          <t>SIZE</t>
        </is>
      </c>
      <c r="F1" t="inlineStr">
        <is>
          <t>ORDER QTY</t>
        </is>
      </c>
      <c r="G1" t="inlineStr">
        <is>
          <t>TAILOR NAME</t>
        </is>
      </c>
      <c r="H1" t="inlineStr">
        <is>
          <t>STITCHING INWARD</t>
        </is>
      </c>
      <c r="I1" t="inlineStr">
        <is>
          <t>STITCHING BALANCE</t>
        </is>
      </c>
      <c r="J1" t="inlineStr">
        <is>
          <t>TOTAL CHECKING &amp; PACKING</t>
        </is>
      </c>
      <c r="K1" t="inlineStr">
        <is>
          <t>BALANCE CHECKING AND PACKING</t>
        </is>
      </c>
      <c r="L1" t="inlineStr">
        <is>
          <t>TO FILLING</t>
        </is>
      </c>
      <c r="M1" t="inlineStr">
        <is>
          <t>FROM FILLING</t>
        </is>
      </c>
      <c r="N1" t="inlineStr">
        <is>
          <t>TO ZIG ZAG</t>
        </is>
      </c>
      <c r="O1" t="inlineStr">
        <is>
          <t>FROM ZIGZAG</t>
        </is>
      </c>
      <c r="P1" t="inlineStr">
        <is>
          <t>TO EMBROIDERY</t>
        </is>
      </c>
      <c r="Q1" t="inlineStr">
        <is>
          <t>FROM EMBROIDERY</t>
        </is>
      </c>
      <c r="R1" t="inlineStr">
        <is>
          <t>TO FUSED</t>
        </is>
      </c>
      <c r="S1" t="inlineStr">
        <is>
          <t>FROM FUSED</t>
        </is>
      </c>
      <c r="T1" t="inlineStr">
        <is>
          <t>TO BABYOVERLOCK</t>
        </is>
      </c>
      <c r="U1" t="inlineStr">
        <is>
          <t>FROM BABYOVERLOCK</t>
        </is>
      </c>
      <c r="V1" t="inlineStr">
        <is>
          <t>TO SHELL STITCH</t>
        </is>
      </c>
      <c r="W1" t="inlineStr">
        <is>
          <t>FROM SHELL STITCH</t>
        </is>
      </c>
      <c r="X1" t="inlineStr">
        <is>
          <t>TO EYLET</t>
        </is>
      </c>
      <c r="Y1" t="inlineStr">
        <is>
          <t>FROM EYELET</t>
        </is>
      </c>
    </row>
    <row r="2">
      <c r="A2" t="inlineStr">
        <is>
          <t>DHF - 60-1 POONAM</t>
        </is>
      </c>
      <c r="B2" t="inlineStr">
        <is>
          <t>SEATPAD (BK08)</t>
        </is>
      </c>
      <c r="C2" t="inlineStr">
        <is>
          <t>BAKERS RED STRIPE</t>
        </is>
      </c>
      <c r="D2" t="inlineStr">
        <is>
          <t>WHITE / RED</t>
        </is>
      </c>
      <c r="E2" t="inlineStr">
        <is>
          <t>40 X 40 CM</t>
        </is>
      </c>
      <c r="F2" t="n">
        <v>800</v>
      </c>
      <c r="G2" t="inlineStr">
        <is>
          <t>NANDHINI GARMENTS</t>
        </is>
      </c>
      <c r="H2" t="n">
        <v>759</v>
      </c>
      <c r="I2" t="n">
        <v>-41</v>
      </c>
      <c r="K2" t="n">
        <v>800</v>
      </c>
    </row>
    <row r="3">
      <c r="A3" t="inlineStr">
        <is>
          <t>DHF - 60-1 POONAM</t>
        </is>
      </c>
      <c r="B3" t="inlineStr">
        <is>
          <t>SEATPAD (CB22)</t>
        </is>
      </c>
      <c r="C3" t="inlineStr">
        <is>
          <t>LEAF PRINT</t>
        </is>
      </c>
      <c r="D3" t="inlineStr">
        <is>
          <t>WHITE / GREEN</t>
        </is>
      </c>
      <c r="E3" t="inlineStr">
        <is>
          <t>40 X 40 CM</t>
        </is>
      </c>
      <c r="F3" t="n">
        <v>480</v>
      </c>
      <c r="G3" t="inlineStr">
        <is>
          <t>NANDHINI GARMENTS</t>
        </is>
      </c>
      <c r="H3" t="n">
        <v>481</v>
      </c>
      <c r="I3" t="n">
        <v>1</v>
      </c>
      <c r="K3" t="n">
        <v>480</v>
      </c>
    </row>
    <row r="4">
      <c r="A4" t="inlineStr">
        <is>
          <t>DHF - 60-1 POONAM</t>
        </is>
      </c>
      <c r="B4" t="inlineStr">
        <is>
          <t>BOX CUSHION (DW12)</t>
        </is>
      </c>
      <c r="C4" t="inlineStr">
        <is>
          <t>LEAF PRINT</t>
        </is>
      </c>
      <c r="D4" t="inlineStr">
        <is>
          <t>WHITE / GREEN</t>
        </is>
      </c>
      <c r="E4" t="inlineStr">
        <is>
          <t>45X45X6 CM</t>
        </is>
      </c>
      <c r="F4" t="n">
        <v>360</v>
      </c>
      <c r="G4" t="inlineStr">
        <is>
          <t>NANDHINI GARMENTS</t>
        </is>
      </c>
      <c r="H4" t="n">
        <v>360</v>
      </c>
      <c r="I4" t="n">
        <v>0</v>
      </c>
      <c r="K4" t="n">
        <v>360</v>
      </c>
    </row>
    <row r="5">
      <c r="A5" t="inlineStr">
        <is>
          <t>DHF - 60-1 POONAM</t>
        </is>
      </c>
      <c r="B5" t="inlineStr">
        <is>
          <t>BENCH CUSHION (CB25)</t>
        </is>
      </c>
      <c r="C5" t="inlineStr">
        <is>
          <t>LEAF PRINT</t>
        </is>
      </c>
      <c r="D5" t="inlineStr">
        <is>
          <t>WHITE / GREEN</t>
        </is>
      </c>
      <c r="E5" t="inlineStr">
        <is>
          <t>44X112X8 CM</t>
        </is>
      </c>
      <c r="F5" t="n">
        <v>176</v>
      </c>
      <c r="G5" t="inlineStr">
        <is>
          <t>DEVI GARMENTS</t>
        </is>
      </c>
      <c r="H5" t="n">
        <v>178</v>
      </c>
      <c r="I5" t="n">
        <v>2</v>
      </c>
      <c r="K5" t="n">
        <v>176</v>
      </c>
      <c r="M5" t="n">
        <v>67</v>
      </c>
    </row>
    <row r="6">
      <c r="A6" t="inlineStr">
        <is>
          <t>DHF - 60-1 POONAM</t>
        </is>
      </c>
      <c r="B6" t="inlineStr">
        <is>
          <t>SEATPAD (DG84)</t>
        </is>
      </c>
      <c r="C6" t="inlineStr">
        <is>
          <t>GREEN DOBBY</t>
        </is>
      </c>
      <c r="D6" t="inlineStr">
        <is>
          <t>CREAM / GREEN</t>
        </is>
      </c>
      <c r="E6" t="inlineStr">
        <is>
          <t>40 X 40 CM</t>
        </is>
      </c>
      <c r="F6" t="n">
        <v>2000</v>
      </c>
      <c r="G6" t="inlineStr">
        <is>
          <t>NANDHINI GARMENTS</t>
        </is>
      </c>
      <c r="H6" t="n">
        <v>200</v>
      </c>
      <c r="I6" t="n">
        <v>-1800</v>
      </c>
      <c r="K6" t="n">
        <v>2000</v>
      </c>
    </row>
    <row r="7">
      <c r="A7" t="inlineStr">
        <is>
          <t>DHF - 60-1 POONAM</t>
        </is>
      </c>
      <c r="B7" t="inlineStr">
        <is>
          <t>SEATPAD (BK14)</t>
        </is>
      </c>
      <c r="C7" t="inlineStr">
        <is>
          <t>BLUE STRIPE</t>
        </is>
      </c>
      <c r="D7" t="inlineStr">
        <is>
          <t>WHITE / BLUE</t>
        </is>
      </c>
      <c r="E7" t="inlineStr">
        <is>
          <t>40 X 40 CM</t>
        </is>
      </c>
      <c r="F7" t="n">
        <v>480</v>
      </c>
      <c r="G7" t="inlineStr">
        <is>
          <t>NANDHINI GARMENTS</t>
        </is>
      </c>
      <c r="H7" t="n">
        <v>493</v>
      </c>
      <c r="I7" t="n">
        <v>13</v>
      </c>
      <c r="K7" t="n">
        <v>480</v>
      </c>
    </row>
    <row r="8">
      <c r="A8" t="inlineStr">
        <is>
          <t>DHF - 60-1 POONAM</t>
        </is>
      </c>
      <c r="B8" t="inlineStr">
        <is>
          <t>BOX CUSHION (DA16)</t>
        </is>
      </c>
      <c r="C8" t="inlineStr">
        <is>
          <t>RECYCLED STRIPE</t>
        </is>
      </c>
      <c r="D8" t="inlineStr">
        <is>
          <t>WHITE / GREEN</t>
        </is>
      </c>
      <c r="E8" t="inlineStr">
        <is>
          <t>40 X 40 CM</t>
        </is>
      </c>
      <c r="F8" t="n">
        <v>1800</v>
      </c>
      <c r="G8" t="inlineStr">
        <is>
          <t>DEVI GARMENTS</t>
        </is>
      </c>
      <c r="H8" t="n">
        <v>1797</v>
      </c>
      <c r="I8" t="n">
        <v>-3</v>
      </c>
      <c r="K8" t="n">
        <v>1800</v>
      </c>
    </row>
    <row r="9">
      <c r="A9" t="inlineStr">
        <is>
          <t>DHF - 60-1 POONAM</t>
        </is>
      </c>
      <c r="B9" t="inlineStr">
        <is>
          <t>BOX CUSHION (BB01)</t>
        </is>
      </c>
      <c r="C9" t="inlineStr">
        <is>
          <t>BLUSH FLORAL</t>
        </is>
      </c>
      <c r="D9" t="inlineStr">
        <is>
          <t>WHITE / MULTI</t>
        </is>
      </c>
      <c r="E9" t="inlineStr">
        <is>
          <t>40 X 40 CM</t>
        </is>
      </c>
      <c r="F9" t="n">
        <v>400</v>
      </c>
      <c r="G9" t="inlineStr">
        <is>
          <t>NANDHINI GARMENTS</t>
        </is>
      </c>
      <c r="H9" t="n">
        <v>407</v>
      </c>
      <c r="I9" t="n">
        <v>7</v>
      </c>
      <c r="K9" t="n">
        <v>400</v>
      </c>
    </row>
    <row r="10">
      <c r="A10" t="inlineStr">
        <is>
          <t>DHF - 60-1 POONAM</t>
        </is>
      </c>
      <c r="B10" t="inlineStr">
        <is>
          <t>BENCH CUSHION (CK19)</t>
        </is>
      </c>
      <c r="C10" t="inlineStr">
        <is>
          <t>RIVIERA STRIPE</t>
        </is>
      </c>
      <c r="D10" t="inlineStr">
        <is>
          <t>WHITE / BLUE</t>
        </is>
      </c>
      <c r="E10" t="inlineStr">
        <is>
          <t>44X112X8 CM</t>
        </is>
      </c>
      <c r="F10" t="n">
        <v>200</v>
      </c>
      <c r="G10" t="inlineStr">
        <is>
          <t>DEVI GARMENTS</t>
        </is>
      </c>
      <c r="H10" t="n">
        <v>204</v>
      </c>
      <c r="I10" t="n">
        <v>4</v>
      </c>
      <c r="K10" t="n">
        <v>200</v>
      </c>
      <c r="L10" t="n">
        <v>194</v>
      </c>
    </row>
    <row r="11">
      <c r="A11" t="inlineStr">
        <is>
          <t>DHF - 60-1 POONAM</t>
        </is>
      </c>
      <c r="B11" t="inlineStr">
        <is>
          <t>SEATPAD (DH21)</t>
        </is>
      </c>
      <c r="C11" t="inlineStr">
        <is>
          <t>RIB STRIPE</t>
        </is>
      </c>
      <c r="D11" t="inlineStr">
        <is>
          <t>CREAM / BROWN</t>
        </is>
      </c>
      <c r="E11" t="inlineStr">
        <is>
          <t>40 X 40 CM</t>
        </is>
      </c>
      <c r="F11" t="n">
        <v>400</v>
      </c>
      <c r="G11" t="inlineStr">
        <is>
          <t>UNASSIGNED</t>
        </is>
      </c>
      <c r="I11" t="n">
        <v>-400</v>
      </c>
      <c r="K11" t="n">
        <v>400</v>
      </c>
    </row>
    <row r="12">
      <c r="A12" t="inlineStr">
        <is>
          <t>DHF - 60-1 POONAM</t>
        </is>
      </c>
      <c r="B12" t="inlineStr">
        <is>
          <t>BENCH CUSHION (DH24)</t>
        </is>
      </c>
      <c r="C12" t="inlineStr">
        <is>
          <t>RIB STRIPE</t>
        </is>
      </c>
      <c r="D12" t="inlineStr">
        <is>
          <t>CREAM / BROWN</t>
        </is>
      </c>
      <c r="E12" t="inlineStr">
        <is>
          <t>44X112X8 CM</t>
        </is>
      </c>
      <c r="F12" t="n">
        <v>200</v>
      </c>
      <c r="G12" t="inlineStr">
        <is>
          <t>DEVI GARMENTS</t>
        </is>
      </c>
      <c r="H12" t="n">
        <v>205</v>
      </c>
      <c r="I12" t="n">
        <v>5</v>
      </c>
      <c r="K12" t="n">
        <v>200</v>
      </c>
    </row>
    <row r="13">
      <c r="A13" t="inlineStr">
        <is>
          <t>DHF - 60-2 POONAM</t>
        </is>
      </c>
      <c r="B13" t="inlineStr">
        <is>
          <t>BOX CUSHION (CB15)</t>
        </is>
      </c>
      <c r="C13" t="inlineStr">
        <is>
          <t>GREY STRIPE</t>
        </is>
      </c>
      <c r="D13" t="inlineStr">
        <is>
          <t>GREY / WHITE</t>
        </is>
      </c>
      <c r="E13" t="inlineStr">
        <is>
          <t>40 X 40 CM</t>
        </is>
      </c>
      <c r="F13" t="n">
        <v>600</v>
      </c>
      <c r="G13" t="inlineStr">
        <is>
          <t>NANDHINI GARMENTS</t>
        </is>
      </c>
      <c r="H13" t="n">
        <v>608</v>
      </c>
      <c r="I13" t="n">
        <v>8</v>
      </c>
      <c r="K13" t="n">
        <v>600</v>
      </c>
    </row>
    <row r="14">
      <c r="A14" t="inlineStr">
        <is>
          <t>DHF - 60-2 POONAM</t>
        </is>
      </c>
      <c r="B14" t="inlineStr">
        <is>
          <t>BENCH CUSHION (CY95)</t>
        </is>
      </c>
      <c r="C14" t="inlineStr">
        <is>
          <t>GREY STRIPE</t>
        </is>
      </c>
      <c r="D14" t="inlineStr">
        <is>
          <t>GREY / WHITE</t>
        </is>
      </c>
      <c r="E14" t="inlineStr">
        <is>
          <t>44X112X8 CM</t>
        </is>
      </c>
      <c r="F14" t="n">
        <v>960</v>
      </c>
      <c r="G14" t="inlineStr">
        <is>
          <t>DEVI GARMENTS</t>
        </is>
      </c>
      <c r="H14" t="n">
        <v>967</v>
      </c>
      <c r="I14" t="n">
        <v>7</v>
      </c>
      <c r="J14" t="n">
        <v>104</v>
      </c>
      <c r="K14" t="n">
        <v>856</v>
      </c>
      <c r="M14" t="n">
        <v>164</v>
      </c>
    </row>
    <row r="15">
      <c r="A15" t="inlineStr">
        <is>
          <t>DHF - 60-2 POONAM</t>
        </is>
      </c>
      <c r="B15" t="inlineStr">
        <is>
          <t>ROUND PAD (DA15)</t>
        </is>
      </c>
      <c r="C15" t="inlineStr">
        <is>
          <t>SOLID GREY</t>
        </is>
      </c>
      <c r="D15" t="inlineStr">
        <is>
          <t>GREY</t>
        </is>
      </c>
      <c r="E15" t="inlineStr">
        <is>
          <t>40 CM ROUND</t>
        </is>
      </c>
      <c r="F15" t="n">
        <v>400</v>
      </c>
      <c r="G15" t="inlineStr">
        <is>
          <t>MUTHUSELVAM</t>
        </is>
      </c>
      <c r="H15" t="n">
        <v>407</v>
      </c>
      <c r="I15" t="n">
        <v>7</v>
      </c>
      <c r="K15" t="n">
        <v>400</v>
      </c>
    </row>
    <row r="16">
      <c r="A16" t="inlineStr">
        <is>
          <t>DHF - 60-2 POONAM</t>
        </is>
      </c>
      <c r="B16" t="inlineStr">
        <is>
          <t>BOX CUSHION (CB11)</t>
        </is>
      </c>
      <c r="C16" t="inlineStr">
        <is>
          <t>BLUE STRIPE</t>
        </is>
      </c>
      <c r="D16" t="inlineStr">
        <is>
          <t>WHITE / BLUE</t>
        </is>
      </c>
      <c r="E16" t="inlineStr">
        <is>
          <t>40 X 40 CM</t>
        </is>
      </c>
      <c r="F16" t="n">
        <v>480</v>
      </c>
      <c r="G16" t="inlineStr">
        <is>
          <t>UNASSIGNED</t>
        </is>
      </c>
      <c r="H16" t="n">
        <v>400</v>
      </c>
      <c r="I16" t="n">
        <v>-80</v>
      </c>
      <c r="K16" t="n">
        <v>480</v>
      </c>
    </row>
    <row r="17">
      <c r="A17" t="inlineStr">
        <is>
          <t>DHF - 60-2 POONAM</t>
        </is>
      </c>
      <c r="B17" t="inlineStr">
        <is>
          <t>BENCH PAD (DA14)</t>
        </is>
      </c>
      <c r="C17" t="inlineStr">
        <is>
          <t>BAKERS RED STRIPE</t>
        </is>
      </c>
      <c r="D17" t="inlineStr">
        <is>
          <t>WHITE / RED</t>
        </is>
      </c>
      <c r="E17" t="inlineStr">
        <is>
          <t>40 X 100 CM</t>
        </is>
      </c>
      <c r="F17" t="n">
        <v>160</v>
      </c>
      <c r="G17" t="inlineStr">
        <is>
          <t>MUTHUSELVAM</t>
        </is>
      </c>
      <c r="H17" t="n">
        <v>163</v>
      </c>
      <c r="I17" t="n">
        <v>3</v>
      </c>
      <c r="K17" t="n">
        <v>160</v>
      </c>
    </row>
    <row r="18">
      <c r="A18" t="inlineStr">
        <is>
          <t>DHF - 60-2 POONAM</t>
        </is>
      </c>
      <c r="B18" t="inlineStr">
        <is>
          <t>SEATPAD (DW23)</t>
        </is>
      </c>
      <c r="C18" t="inlineStr">
        <is>
          <t>FLOWER PRINT</t>
        </is>
      </c>
      <c r="D18" t="inlineStr">
        <is>
          <t>WHITE / MULTI</t>
        </is>
      </c>
      <c r="E18" t="inlineStr">
        <is>
          <t>40 X 40 CM</t>
        </is>
      </c>
      <c r="F18" t="n">
        <v>400</v>
      </c>
      <c r="G18" t="inlineStr">
        <is>
          <t>NANDHINI GARMENTS</t>
        </is>
      </c>
      <c r="I18" t="n">
        <v>-400</v>
      </c>
      <c r="K18" t="n">
        <v>400</v>
      </c>
    </row>
    <row r="19">
      <c r="A19" t="inlineStr">
        <is>
          <t>DHF - 60-2 POONAM</t>
        </is>
      </c>
      <c r="B19" t="inlineStr">
        <is>
          <t>BOX CUSHION (BM87)</t>
        </is>
      </c>
      <c r="C19" t="inlineStr">
        <is>
          <t>CHAMBRAY PRINT</t>
        </is>
      </c>
      <c r="D19" t="inlineStr">
        <is>
          <t>NATURAL / RED</t>
        </is>
      </c>
      <c r="E19" t="inlineStr">
        <is>
          <t>40 X 40 CM</t>
        </is>
      </c>
      <c r="F19" t="n">
        <v>500</v>
      </c>
      <c r="G19" t="inlineStr">
        <is>
          <t>NANDHINI GARMENTS</t>
        </is>
      </c>
      <c r="I19" t="n">
        <v>-500</v>
      </c>
      <c r="K19" t="n">
        <v>500</v>
      </c>
    </row>
    <row r="20">
      <c r="A20" t="inlineStr">
        <is>
          <t>DHF - 60-2 POONAM</t>
        </is>
      </c>
      <c r="B20" t="inlineStr">
        <is>
          <t>XL CUSHION (DW44)</t>
        </is>
      </c>
      <c r="C20" t="inlineStr">
        <is>
          <t>CHAMBRAY PRINT</t>
        </is>
      </c>
      <c r="D20" t="inlineStr">
        <is>
          <t>NATURAL / RED</t>
        </is>
      </c>
      <c r="E20" t="inlineStr">
        <is>
          <t>50 X 50 CM</t>
        </is>
      </c>
      <c r="F20" t="n">
        <v>120</v>
      </c>
      <c r="G20" t="inlineStr">
        <is>
          <t>NANDHINI GARMENTS</t>
        </is>
      </c>
      <c r="I20" t="n">
        <v>-120</v>
      </c>
      <c r="K20" t="n">
        <v>120</v>
      </c>
    </row>
    <row r="21">
      <c r="A21" t="inlineStr">
        <is>
          <t>DHF - 60-2 POONAM</t>
        </is>
      </c>
      <c r="B21" t="inlineStr">
        <is>
          <t>BOX CUSHION (DW42)</t>
        </is>
      </c>
      <c r="C21" t="inlineStr">
        <is>
          <t>CHAMBRAY PRINT</t>
        </is>
      </c>
      <c r="D21" t="inlineStr">
        <is>
          <t>NATURAL / GREEN</t>
        </is>
      </c>
      <c r="E21" t="inlineStr">
        <is>
          <t>40 X 40 CM</t>
        </is>
      </c>
      <c r="F21" t="n">
        <v>140</v>
      </c>
      <c r="G21" t="inlineStr">
        <is>
          <t>NANDHINI GARMENTS</t>
        </is>
      </c>
      <c r="I21" t="n">
        <v>-140</v>
      </c>
      <c r="K21" t="n">
        <v>140</v>
      </c>
    </row>
    <row r="22">
      <c r="A22" t="inlineStr">
        <is>
          <t>DHF - 60-3 POONAM</t>
        </is>
      </c>
      <c r="B22" t="inlineStr">
        <is>
          <t>BENCH CUSHION (BM86)</t>
        </is>
      </c>
      <c r="C22" t="inlineStr">
        <is>
          <t>BLUSH FLORAL</t>
        </is>
      </c>
      <c r="D22" t="inlineStr">
        <is>
          <t>WHITE / MULTI</t>
        </is>
      </c>
      <c r="E22" t="inlineStr">
        <is>
          <t>44X112X8 CM</t>
        </is>
      </c>
      <c r="F22" t="n">
        <v>336</v>
      </c>
      <c r="G22" t="inlineStr">
        <is>
          <t>DEVI GARMENTS</t>
        </is>
      </c>
      <c r="H22" t="n">
        <v>333</v>
      </c>
      <c r="I22" t="n">
        <v>-3</v>
      </c>
      <c r="J22" t="n">
        <v>145</v>
      </c>
      <c r="K22" t="n">
        <v>191</v>
      </c>
      <c r="L22" t="n">
        <v>324</v>
      </c>
      <c r="M22" t="n">
        <v>145</v>
      </c>
    </row>
    <row r="23">
      <c r="A23" t="inlineStr">
        <is>
          <t>DHF - 60-3 POONAM</t>
        </is>
      </c>
      <c r="B23" t="inlineStr">
        <is>
          <t>XL CUSHION (DW45)</t>
        </is>
      </c>
      <c r="C23" t="inlineStr">
        <is>
          <t>CHAMBRAY PRINT</t>
        </is>
      </c>
      <c r="D23" t="inlineStr">
        <is>
          <t>NATURAL / GREEN</t>
        </is>
      </c>
      <c r="E23" t="inlineStr">
        <is>
          <t>50 X 50 CM</t>
        </is>
      </c>
      <c r="F23" t="n">
        <v>220</v>
      </c>
      <c r="G23" t="inlineStr">
        <is>
          <t>NANDHINI GARMENTS</t>
        </is>
      </c>
      <c r="I23" t="n">
        <v>-220</v>
      </c>
      <c r="K23" t="n">
        <v>220</v>
      </c>
    </row>
    <row r="24">
      <c r="A24" t="inlineStr">
        <is>
          <t>DHF - 60-3 POONAM</t>
        </is>
      </c>
      <c r="B24" t="inlineStr">
        <is>
          <t>BENCH PAD (DW14)</t>
        </is>
      </c>
      <c r="C24" t="inlineStr">
        <is>
          <t>GREY STRIPE</t>
        </is>
      </c>
      <c r="D24" t="inlineStr">
        <is>
          <t>WHITE / GREY</t>
        </is>
      </c>
      <c r="E24" t="inlineStr">
        <is>
          <t>40 X 100 CM</t>
        </is>
      </c>
      <c r="F24" t="n">
        <v>400</v>
      </c>
      <c r="G24" t="inlineStr">
        <is>
          <t>MUTHUSELVAM</t>
        </is>
      </c>
      <c r="H24" t="n">
        <v>405</v>
      </c>
      <c r="I24" t="n">
        <v>5</v>
      </c>
      <c r="K24" t="n">
        <v>400</v>
      </c>
    </row>
    <row r="25">
      <c r="A25" t="inlineStr">
        <is>
          <t>DHF - 60-3 POONAM</t>
        </is>
      </c>
      <c r="B25" t="inlineStr">
        <is>
          <t>DRAWSTRING BAG (DW14)</t>
        </is>
      </c>
      <c r="C25" t="inlineStr">
        <is>
          <t>LOGO PRINT</t>
        </is>
      </c>
      <c r="D25" t="inlineStr">
        <is>
          <t>NATURAL / BLACK</t>
        </is>
      </c>
      <c r="E25" t="inlineStr">
        <is>
          <t>40 X 25 CM</t>
        </is>
      </c>
      <c r="F25" t="n">
        <v>400</v>
      </c>
      <c r="G25" t="inlineStr">
        <is>
          <t>MUTHUSELVAM</t>
        </is>
      </c>
      <c r="H25" t="n">
        <v>215</v>
      </c>
      <c r="I25" t="n">
        <v>-185</v>
      </c>
      <c r="K25" t="n">
        <v>400</v>
      </c>
    </row>
    <row r="26">
      <c r="A26" t="inlineStr">
        <is>
          <t>DHF - 60-3 POONAM</t>
        </is>
      </c>
      <c r="B26" t="inlineStr">
        <is>
          <t>BOX CUSHION (DW15)</t>
        </is>
      </c>
      <c r="C26" t="inlineStr">
        <is>
          <t>GREY STRIPE</t>
        </is>
      </c>
      <c r="D26" t="inlineStr">
        <is>
          <t>WHITE / GREY</t>
        </is>
      </c>
      <c r="E26" t="inlineStr">
        <is>
          <t>45X45X6 CM</t>
        </is>
      </c>
      <c r="F26" t="n">
        <v>800</v>
      </c>
      <c r="G26" t="inlineStr">
        <is>
          <t>NANDHINI GARMENTS</t>
        </is>
      </c>
      <c r="H26" t="n">
        <v>600</v>
      </c>
      <c r="I26" t="n">
        <v>-200</v>
      </c>
      <c r="K26" t="n">
        <v>800</v>
      </c>
    </row>
    <row r="27">
      <c r="A27" t="inlineStr">
        <is>
          <t>DHF - 60-3 POONAM</t>
        </is>
      </c>
      <c r="B27" t="inlineStr">
        <is>
          <t>ROUND PAD (DW16)</t>
        </is>
      </c>
      <c r="C27" t="inlineStr">
        <is>
          <t>GREY STRIPE</t>
        </is>
      </c>
      <c r="D27" t="inlineStr">
        <is>
          <t>WHITE / GREY</t>
        </is>
      </c>
      <c r="E27" t="inlineStr">
        <is>
          <t>40 CM ROUND</t>
        </is>
      </c>
      <c r="F27" t="n">
        <v>800</v>
      </c>
      <c r="G27" t="inlineStr">
        <is>
          <t>MUTHUSELVAM</t>
        </is>
      </c>
      <c r="H27" t="n">
        <v>600</v>
      </c>
      <c r="I27" t="n">
        <v>-200</v>
      </c>
      <c r="K27" t="n">
        <v>800</v>
      </c>
    </row>
    <row r="28">
      <c r="A28" t="inlineStr">
        <is>
          <t>DHF - 60-3 POONAM</t>
        </is>
      </c>
      <c r="B28" t="inlineStr">
        <is>
          <t>SEATPAD (CB14)</t>
        </is>
      </c>
      <c r="C28" t="inlineStr">
        <is>
          <t>GREY STRIPE</t>
        </is>
      </c>
      <c r="D28" t="inlineStr">
        <is>
          <t>WHITE / GREY</t>
        </is>
      </c>
      <c r="E28" t="inlineStr">
        <is>
          <t>40 X 40 CM</t>
        </is>
      </c>
      <c r="F28" t="n">
        <v>2400</v>
      </c>
      <c r="G28" t="inlineStr">
        <is>
          <t>NANDHINI GARMENTS</t>
        </is>
      </c>
      <c r="H28" t="n">
        <v>2402</v>
      </c>
      <c r="I28" t="n">
        <v>2</v>
      </c>
      <c r="K28" t="n">
        <v>2400</v>
      </c>
    </row>
    <row r="29">
      <c r="A29" t="inlineStr">
        <is>
          <t>DHF - 60-3 POONAM</t>
        </is>
      </c>
      <c r="B29" t="inlineStr">
        <is>
          <t>BOX CUSHION (CB16)</t>
        </is>
      </c>
      <c r="C29" t="inlineStr">
        <is>
          <t>GREY STRIPE</t>
        </is>
      </c>
      <c r="D29" t="inlineStr">
        <is>
          <t>WHITE / GREY</t>
        </is>
      </c>
      <c r="E29" t="inlineStr">
        <is>
          <t>50 X 50 CM</t>
        </is>
      </c>
      <c r="F29" t="n">
        <v>400</v>
      </c>
      <c r="G29" t="inlineStr">
        <is>
          <t>NANDHINI GARMENTS</t>
        </is>
      </c>
      <c r="H29" t="n">
        <v>404</v>
      </c>
      <c r="I29" t="n">
        <v>4</v>
      </c>
      <c r="K29" t="n">
        <v>400</v>
      </c>
    </row>
    <row r="30">
      <c r="A30" t="inlineStr">
        <is>
          <t>DHF - 60-3 POONAM</t>
        </is>
      </c>
      <c r="B30" t="inlineStr">
        <is>
          <t>SEATPAD (DG93)</t>
        </is>
      </c>
      <c r="C30" t="inlineStr">
        <is>
          <t>PINK DOBBY</t>
        </is>
      </c>
      <c r="D30" t="inlineStr">
        <is>
          <t>CREAM / PINK</t>
        </is>
      </c>
      <c r="E30" t="inlineStr">
        <is>
          <t>40 X 40 CM</t>
        </is>
      </c>
      <c r="F30" t="n">
        <v>400</v>
      </c>
      <c r="G30" t="inlineStr">
        <is>
          <t>UNASSIGNED</t>
        </is>
      </c>
      <c r="I30" t="n">
        <v>-400</v>
      </c>
      <c r="K30" t="n">
        <v>400</v>
      </c>
    </row>
    <row r="31">
      <c r="A31" t="inlineStr">
        <is>
          <t>DHF - 60-3 POONAM</t>
        </is>
      </c>
      <c r="B31" t="inlineStr">
        <is>
          <t>BENCH CUSHION (DG87)</t>
        </is>
      </c>
      <c r="C31" t="inlineStr">
        <is>
          <t>GREEN DOBBY</t>
        </is>
      </c>
      <c r="D31" t="inlineStr">
        <is>
          <t>CREAM / GREEN</t>
        </is>
      </c>
      <c r="E31" t="inlineStr">
        <is>
          <t>44X112X8 CM</t>
        </is>
      </c>
      <c r="F31" t="n">
        <v>296</v>
      </c>
      <c r="G31" t="inlineStr">
        <is>
          <t>DEVI GARMENTS</t>
        </is>
      </c>
      <c r="H31" t="n">
        <v>302</v>
      </c>
      <c r="I31" t="n">
        <v>6</v>
      </c>
      <c r="K31" t="n">
        <v>296</v>
      </c>
    </row>
    <row r="32">
      <c r="A32" t="inlineStr">
        <is>
          <t>DHF - 60-3 POONAM</t>
        </is>
      </c>
      <c r="B32" t="inlineStr">
        <is>
          <t>ROUND PAD (DW11)</t>
        </is>
      </c>
      <c r="C32" t="inlineStr">
        <is>
          <t>LEAF PRINT</t>
        </is>
      </c>
      <c r="D32" t="inlineStr">
        <is>
          <t>WHITE / GREEN</t>
        </is>
      </c>
      <c r="E32" t="inlineStr">
        <is>
          <t>40 CM ROUND</t>
        </is>
      </c>
      <c r="F32" t="n">
        <v>240</v>
      </c>
      <c r="G32" t="inlineStr">
        <is>
          <t>MUTHUSELVAM</t>
        </is>
      </c>
      <c r="H32" t="n">
        <v>241</v>
      </c>
      <c r="I32" t="n">
        <v>1</v>
      </c>
      <c r="K3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8" customWidth="1" min="4" max="4"/>
    <col width="32" customWidth="1" min="8" max="8"/>
    <col width="16" customWidth="1" min="9" max="9"/>
    <col width="16" customWidth="1" min="10" max="10"/>
  </cols>
  <sheetData>
    <row r="1" ht="36" customHeight="1">
      <c r="A1" s="5" t="inlineStr">
        <is>
          <t>DHF Order Dashboard (Filterable Charts)</t>
        </is>
      </c>
    </row>
    <row r="2">
      <c r="A2" s="6" t="inlineStr">
        <is>
          <t>Filters</t>
        </is>
      </c>
      <c r="D2" s="7" t="n"/>
      <c r="E2" s="7" t="n"/>
      <c r="F2" s="7" t="n"/>
      <c r="G2" s="7" t="n"/>
      <c r="H2" s="8" t="inlineStr">
        <is>
          <t>Chart Data (auto)</t>
        </is>
      </c>
      <c r="I2" s="7" t="n"/>
      <c r="J2" s="7" t="n"/>
    </row>
    <row r="3" ht="24" customHeight="1">
      <c r="A3" s="9" t="inlineStr">
        <is>
          <t>Order Number</t>
        </is>
      </c>
      <c r="B3" s="10" t="inlineStr">
        <is>
          <t>All</t>
        </is>
      </c>
      <c r="H3" s="4" t="inlineStr">
        <is>
          <t>Tailor</t>
        </is>
      </c>
      <c r="I3" s="4" t="inlineStr">
        <is>
          <t>Order Qty</t>
        </is>
      </c>
    </row>
    <row r="4" ht="24" customHeight="1">
      <c r="A4" s="9" t="inlineStr">
        <is>
          <t>Size</t>
        </is>
      </c>
      <c r="B4" s="10" t="inlineStr">
        <is>
          <t>All</t>
        </is>
      </c>
      <c r="H4">
        <f>LET(t,CHOOSECOLS($A$11#,7),SORT(UNIQUE(FILTER(t,t&lt;&gt;""))))</f>
        <v/>
      </c>
      <c r="I4">
        <f>LET(t,CHOOSECOLS($A$11#,7),q,CHOOSECOLS($A$11#,6),u,SORT(UNIQUE(FILTER(t,t&lt;&gt;""))),MAP(u,LAMBDA(x,SUMIF(t,x,q))))</f>
        <v/>
      </c>
    </row>
    <row r="5" ht="24" customHeight="1">
      <c r="A5" s="9" t="inlineStr">
        <is>
          <t>Article</t>
        </is>
      </c>
      <c r="B5" s="10" t="inlineStr">
        <is>
          <t>All</t>
        </is>
      </c>
    </row>
    <row r="6" ht="24" customHeight="1">
      <c r="A6" s="9" t="inlineStr">
        <is>
          <t>Tailor Name</t>
        </is>
      </c>
      <c r="B6" s="10" t="inlineStr">
        <is>
          <t>All</t>
        </is>
      </c>
    </row>
    <row r="7" ht="24" customHeight="1">
      <c r="A7" s="9" t="n"/>
      <c r="B7" s="10" t="n"/>
    </row>
    <row r="8" ht="24" customHeight="1">
      <c r="A8" s="9" t="n"/>
      <c r="B8" s="10" t="n"/>
    </row>
    <row r="9" ht="24" customHeight="1">
      <c r="A9" s="11" t="inlineStr">
        <is>
          <t>Filtered Records</t>
        </is>
      </c>
      <c r="B9" s="10" t="n"/>
    </row>
    <row r="10">
      <c r="A10" s="4" t="inlineStr">
        <is>
          <t>DHF ORDER  NUMBER</t>
        </is>
      </c>
      <c r="B10" s="4" t="inlineStr">
        <is>
          <t>ARTICLE</t>
        </is>
      </c>
      <c r="C10" s="4" t="inlineStr">
        <is>
          <t>DESIGN</t>
        </is>
      </c>
      <c r="D10" s="4" t="inlineStr">
        <is>
          <t>COLOUR</t>
        </is>
      </c>
      <c r="E10" s="4" t="inlineStr">
        <is>
          <t>SIZE</t>
        </is>
      </c>
      <c r="F10" s="4" t="inlineStr">
        <is>
          <t>ORDER QTY</t>
        </is>
      </c>
      <c r="G10" s="4" t="inlineStr">
        <is>
          <t>TAILOR NAME</t>
        </is>
      </c>
      <c r="H10" s="4" t="inlineStr">
        <is>
          <t>Order</t>
        </is>
      </c>
      <c r="I10" s="4" t="inlineStr">
        <is>
          <t>Stitching Inward</t>
        </is>
      </c>
      <c r="J10" s="4" t="inlineStr">
        <is>
          <t>Packed</t>
        </is>
      </c>
      <c r="K10" s="4" t="inlineStr">
        <is>
          <t>BALANCE CHECKING AND PACKING</t>
        </is>
      </c>
    </row>
    <row r="11">
      <c r="A11">
        <f>FILTER(Data!$A:$K,(IF($B$3="All",TRUE,Data!$A:$A=$B$3))*(IF($B$4="All",TRUE,Data!$E:$E=$B$4))*(IF($B$5="All",TRUE,Data!$B:$B=$B$5))*(IF($B$6="All",TRUE,Data!$G:$G=$B$6)),"No records")</f>
        <v/>
      </c>
      <c r="H11">
        <f>LET(o,CHOOSECOLS($A$11#,1),SORT(UNIQUE(FILTER(o,o&lt;&gt;""))))</f>
        <v/>
      </c>
      <c r="I11">
        <f>LET(o,CHOOSECOLS($A$11#,1),s,CHOOSECOLS($A$11#,8),u,SORT(UNIQUE(FILTER(o,o&lt;&gt;""))),MAP(u,LAMBDA(x,SUMIF(o,x,s))))</f>
        <v/>
      </c>
      <c r="J11">
        <f>LET(o,CHOOSECOLS($A$11#,1),p,CHOOSECOLS($A$11#,10),u,SORT(UNIQUE(FILTER(o,o&lt;&gt;""))),MAP(u,LAMBDA(x,SUMIF(o,x,p))))</f>
        <v/>
      </c>
    </row>
    <row r="16">
      <c r="A16" s="12" t="n"/>
    </row>
    <row r="18">
      <c r="A18" s="13" t="inlineStr">
        <is>
          <t>DHF Production Dashboard | Auto‑Generated</t>
        </is>
      </c>
    </row>
  </sheetData>
  <mergeCells count="1">
    <mergeCell ref="A1:J1"/>
  </mergeCells>
  <dataValidations count="4">
    <dataValidation sqref="B3" showDropDown="1" showInputMessage="0" showErrorMessage="0" allowBlank="1" type="list">
      <formula1>Lists!$A$2:$A$5</formula1>
    </dataValidation>
    <dataValidation sqref="B4" showDropDown="1" showInputMessage="0" showErrorMessage="0" allowBlank="1" type="list">
      <formula1>Lists!$C$2:$C$9</formula1>
    </dataValidation>
    <dataValidation sqref="B5" showDropDown="1" showInputMessage="0" showErrorMessage="0" allowBlank="1" type="list">
      <formula1>Lists!$B$2:$B$33</formula1>
    </dataValidation>
    <dataValidation sqref="B6" showDropDown="1" showInputMessage="0" showErrorMessage="0" allowBlank="1" type="list">
      <formula1>Lists!$D$2:$D$6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DHF ORDER  NUMBER</t>
        </is>
      </c>
      <c r="B1" s="2" t="inlineStr">
        <is>
          <t>ARTICLE</t>
        </is>
      </c>
      <c r="C1" s="2" t="inlineStr">
        <is>
          <t>SIZE</t>
        </is>
      </c>
      <c r="D1" s="2" t="inlineStr">
        <is>
          <t>TAILOR NAME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</row>
    <row r="3">
      <c r="A3" t="inlineStr">
        <is>
          <t>DHF - 60-1 POONAM</t>
        </is>
      </c>
      <c r="B3" t="inlineStr">
        <is>
          <t>BENCH CUSHION (BM86)</t>
        </is>
      </c>
      <c r="C3" t="inlineStr">
        <is>
          <t>40 CM ROUND</t>
        </is>
      </c>
      <c r="D3" t="inlineStr">
        <is>
          <t>DEVI GARMENTS</t>
        </is>
      </c>
    </row>
    <row r="4">
      <c r="A4" t="inlineStr">
        <is>
          <t>DHF - 60-2 POONAM</t>
        </is>
      </c>
      <c r="B4" t="inlineStr">
        <is>
          <t>BENCH CUSHION (CB25)</t>
        </is>
      </c>
      <c r="C4" t="inlineStr">
        <is>
          <t>40 X 100 CM</t>
        </is>
      </c>
      <c r="D4" t="inlineStr">
        <is>
          <t>MUTHUSELVAM</t>
        </is>
      </c>
    </row>
    <row r="5">
      <c r="A5" t="inlineStr">
        <is>
          <t>DHF - 60-3 POONAM</t>
        </is>
      </c>
      <c r="B5" t="inlineStr">
        <is>
          <t>BENCH CUSHION (CK19)</t>
        </is>
      </c>
      <c r="C5" t="inlineStr">
        <is>
          <t>40 X 25 CM</t>
        </is>
      </c>
      <c r="D5" t="inlineStr">
        <is>
          <t>NANDHINI GARMENTS</t>
        </is>
      </c>
    </row>
    <row r="6">
      <c r="B6" t="inlineStr">
        <is>
          <t>BENCH CUSHION (CY95)</t>
        </is>
      </c>
      <c r="C6" t="inlineStr">
        <is>
          <t>40 X 40 CM</t>
        </is>
      </c>
      <c r="D6" t="inlineStr">
        <is>
          <t>UNASSIGNED</t>
        </is>
      </c>
    </row>
    <row r="7">
      <c r="B7" t="inlineStr">
        <is>
          <t>BENCH CUSHION (DG87)</t>
        </is>
      </c>
      <c r="C7" t="inlineStr">
        <is>
          <t>44X112X8 CM</t>
        </is>
      </c>
    </row>
    <row r="8">
      <c r="B8" t="inlineStr">
        <is>
          <t>BENCH CUSHION (DH24)</t>
        </is>
      </c>
      <c r="C8" t="inlineStr">
        <is>
          <t>45X45X6 CM</t>
        </is>
      </c>
    </row>
    <row r="9">
      <c r="B9" t="inlineStr">
        <is>
          <t>BENCH PAD (DA14)</t>
        </is>
      </c>
      <c r="C9" t="inlineStr">
        <is>
          <t>50 X 50 CM</t>
        </is>
      </c>
    </row>
    <row r="10">
      <c r="B10" t="inlineStr">
        <is>
          <t>BENCH PAD (DW14)</t>
        </is>
      </c>
    </row>
    <row r="11">
      <c r="B11" t="inlineStr">
        <is>
          <t>BOX CUSHION (BB01)</t>
        </is>
      </c>
    </row>
    <row r="12">
      <c r="B12" t="inlineStr">
        <is>
          <t>BOX CUSHION (BM87)</t>
        </is>
      </c>
    </row>
    <row r="13">
      <c r="B13" t="inlineStr">
        <is>
          <t>BOX CUSHION (CB11)</t>
        </is>
      </c>
    </row>
    <row r="14">
      <c r="B14" t="inlineStr">
        <is>
          <t>BOX CUSHION (CB15)</t>
        </is>
      </c>
    </row>
    <row r="15">
      <c r="B15" t="inlineStr">
        <is>
          <t>BOX CUSHION (CB16)</t>
        </is>
      </c>
    </row>
    <row r="16">
      <c r="B16" t="inlineStr">
        <is>
          <t>BOX CUSHION (DA16)</t>
        </is>
      </c>
    </row>
    <row r="17">
      <c r="B17" t="inlineStr">
        <is>
          <t>BOX CUSHION (DW12)</t>
        </is>
      </c>
    </row>
    <row r="18">
      <c r="B18" t="inlineStr">
        <is>
          <t>BOX CUSHION (DW15)</t>
        </is>
      </c>
    </row>
    <row r="19">
      <c r="B19" t="inlineStr">
        <is>
          <t>BOX CUSHION (DW42)</t>
        </is>
      </c>
    </row>
    <row r="20">
      <c r="B20" t="inlineStr">
        <is>
          <t>DRAWSTRING BAG (DW14)</t>
        </is>
      </c>
    </row>
    <row r="21">
      <c r="B21" t="inlineStr">
        <is>
          <t>ROUND PAD (DA15)</t>
        </is>
      </c>
    </row>
    <row r="22">
      <c r="B22" t="inlineStr">
        <is>
          <t>ROUND PAD (DW11)</t>
        </is>
      </c>
    </row>
    <row r="23">
      <c r="B23" t="inlineStr">
        <is>
          <t>ROUND PAD (DW16)</t>
        </is>
      </c>
    </row>
    <row r="24">
      <c r="B24" t="inlineStr">
        <is>
          <t>SEATPAD (BK08)</t>
        </is>
      </c>
    </row>
    <row r="25">
      <c r="B25" t="inlineStr">
        <is>
          <t>SEATPAD (BK14)</t>
        </is>
      </c>
    </row>
    <row r="26">
      <c r="B26" t="inlineStr">
        <is>
          <t>SEATPAD (CB14)</t>
        </is>
      </c>
    </row>
    <row r="27">
      <c r="B27" t="inlineStr">
        <is>
          <t>SEATPAD (CB22)</t>
        </is>
      </c>
    </row>
    <row r="28">
      <c r="B28" t="inlineStr">
        <is>
          <t>SEATPAD (DG84)</t>
        </is>
      </c>
    </row>
    <row r="29">
      <c r="B29" t="inlineStr">
        <is>
          <t>SEATPAD (DG93)</t>
        </is>
      </c>
    </row>
    <row r="30">
      <c r="B30" t="inlineStr">
        <is>
          <t>SEATPAD (DH21)</t>
        </is>
      </c>
    </row>
    <row r="31">
      <c r="B31" t="inlineStr">
        <is>
          <t>SEATPAD (DW23)</t>
        </is>
      </c>
    </row>
    <row r="32">
      <c r="B32" t="inlineStr">
        <is>
          <t>XL CUSHION (DW44)</t>
        </is>
      </c>
    </row>
    <row r="33">
      <c r="B33" t="inlineStr">
        <is>
          <t>XL CUSHION (DW45)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2026-04-12T13:04:32Z</dcterms:created>
  <dcterms:modified xmlns:dcterms="http://purl.org/dc/terms/" xmlns:xsi="http://www.w3.org/2001/XMLSchema-instance" xsi:type="dcterms:W3CDTF">2026-04-12T13:05:12Z</dcterms:modified>
</cp:coreProperties>
</file>